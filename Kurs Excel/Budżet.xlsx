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054F973-E7B2-4AB6-BDE2-1EB233DC2133}" xr6:coauthVersionLast="47" xr6:coauthVersionMax="47" xr10:uidLastSave="{00000000-0000-0000-0000-000000000000}"/>
  <bookViews>
    <workbookView xWindow="-108" yWindow="-108" windowWidth="23256" windowHeight="12456" xr2:uid="{3A619B20-2E7F-41E1-B105-360D83E7CCF4}"/>
  </bookViews>
  <sheets>
    <sheet name="Podsumowanie" sheetId="3" r:id="rId1"/>
    <sheet name="Transakcje" sheetId="1" r:id="rId2"/>
    <sheet name="Kategorie" sheetId="2" r:id="rId3"/>
  </sheets>
  <definedNames>
    <definedName name="Fragmentator_Kategoria">#N/A</definedName>
    <definedName name="Fragmentator_Miesiące__Data">#N/A</definedName>
    <definedName name="Konto">tb_k_konta[Konta]</definedName>
    <definedName name="Obciążenie">tb_k_obciążenie[Obciążenie]</definedName>
    <definedName name="Przelew_wewnętrzny">tb_k_wewnętrzny[Przelew wewnętrzny]</definedName>
    <definedName name="Przychód">tb_k_przychód[Przychód]</definedName>
    <definedName name="Stan_początkowy">tb_k_początkowy[Stan początkowy]</definedName>
    <definedName name="Typ">tb_k_typ[Typ]</definedName>
    <definedName name="Uznanie">Kategorie!$C$2:$C$4</definedName>
    <definedName name="Wydatek">tb_k_wydatek[Wydatek]</definedName>
  </definedNames>
  <calcPr calcId="191029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6" i="1"/>
  <c r="B3" i="1"/>
  <c r="B4" i="1"/>
  <c r="G9" i="1"/>
  <c r="G10" i="1"/>
  <c r="G11" i="1"/>
  <c r="G12" i="1"/>
  <c r="G13" i="1"/>
  <c r="G14" i="1"/>
  <c r="G8" i="1"/>
  <c r="B2" i="1" s="1"/>
  <c r="E4" i="1" s="1"/>
</calcChain>
</file>

<file path=xl/sharedStrings.xml><?xml version="1.0" encoding="utf-8"?>
<sst xmlns="http://schemas.openxmlformats.org/spreadsheetml/2006/main" count="88" uniqueCount="33">
  <si>
    <t>Konto</t>
  </si>
  <si>
    <t>Kwota</t>
  </si>
  <si>
    <t>Data</t>
  </si>
  <si>
    <t>PKO SA</t>
  </si>
  <si>
    <t>Typ</t>
  </si>
  <si>
    <t>Uznanie</t>
  </si>
  <si>
    <t>Obciążenie</t>
  </si>
  <si>
    <t>Rodzaj</t>
  </si>
  <si>
    <t>Stan początkowy</t>
  </si>
  <si>
    <t>Wydatek</t>
  </si>
  <si>
    <t>Przychód</t>
  </si>
  <si>
    <t>Przelew wewnętrzny</t>
  </si>
  <si>
    <t>Kategoria</t>
  </si>
  <si>
    <t>Pensja</t>
  </si>
  <si>
    <t>Bonus</t>
  </si>
  <si>
    <t>Inne</t>
  </si>
  <si>
    <t>Jedzenie</t>
  </si>
  <si>
    <t>Paliwo</t>
  </si>
  <si>
    <t>Rozrywka</t>
  </si>
  <si>
    <t>Mieszkanie</t>
  </si>
  <si>
    <t>Konta</t>
  </si>
  <si>
    <t>PKO BP</t>
  </si>
  <si>
    <t>ING BP</t>
  </si>
  <si>
    <t>Wartość</t>
  </si>
  <si>
    <t xml:space="preserve">Kwota </t>
  </si>
  <si>
    <t>Całość</t>
  </si>
  <si>
    <t>Suma z Kwota</t>
  </si>
  <si>
    <t>Etykiety wierszy</t>
  </si>
  <si>
    <t>Suma końcowa</t>
  </si>
  <si>
    <t>paź</t>
  </si>
  <si>
    <t>lis</t>
  </si>
  <si>
    <t>Etykiety kolumn</t>
  </si>
  <si>
    <t>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</si>
</sst>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44" fontId="0" fillId="0" borderId="0" xfId="0" applyNumberFormat="1" applyAlignment="1">
      <alignment wrapText="1"/>
    </xf>
  </cellXfs>
  <cellStyles count="2">
    <cellStyle name="Normalny" xfId="0" builtinId="0"/>
    <cellStyle name="Walutowy" xfId="1" builtinId="4"/>
  </cellStyles>
  <dxfs count="305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numFmt numFmtId="0" formatCode="General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4" formatCode="_-* #,##0.00\ &quot;zł&quot;_-;\-* #,##0.00\ &quot;zł&quot;_-;_-* &quot;-&quot;??\ &quot;zł&quot;_-;_-@_-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34" formatCode="_-* #,##0.00\ &quot;zł&quot;_-;\-* #,##0.00\ &quot;zł&quot;_-;_-* &quot;-&quot;??\ &quot;zł&quot;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[Budżet.xlsx]Podsumowanie!Tabela przestawna2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Podsumowanie!$B$10:$B$11</c:f>
              <c:strCache>
                <c:ptCount val="1"/>
                <c:pt idx="0">
                  <c:v>Jedzenie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Podsumowanie!$A$12:$A$14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Podsumowanie!$B$12:$B$14</c:f>
              <c:numCache>
                <c:formatCode>_("zł"* #,##0.00_);_("zł"* \(#,##0.00\);_("zł"* "-"??_);_(@_)</c:formatCode>
                <c:ptCount val="3"/>
                <c:pt idx="1">
                  <c:v>150</c:v>
                </c:pt>
                <c:pt idx="2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01-4AD9-A778-6D162B07B72D}"/>
            </c:ext>
          </c:extLst>
        </c:ser>
        <c:ser>
          <c:idx val="1"/>
          <c:order val="1"/>
          <c:tx>
            <c:strRef>
              <c:f>Podsumowanie!$C$10:$C$11</c:f>
              <c:strCache>
                <c:ptCount val="1"/>
                <c:pt idx="0">
                  <c:v>Paliwo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Podsumowanie!$A$12:$A$14</c:f>
              <c:strCache>
                <c:ptCount val="3"/>
                <c:pt idx="0">
                  <c:v>paź</c:v>
                </c:pt>
                <c:pt idx="1">
                  <c:v>lis</c:v>
                </c:pt>
                <c:pt idx="2">
                  <c:v>gru</c:v>
                </c:pt>
              </c:strCache>
            </c:strRef>
          </c:cat>
          <c:val>
            <c:numRef>
              <c:f>Podsumowanie!$C$12:$C$14</c:f>
              <c:numCache>
                <c:formatCode>_("zł"* #,##0.00_);_("zł"* \(#,##0.00\);_("zł"* "-"??_);_(@_)</c:formatCode>
                <c:ptCount val="3"/>
                <c:pt idx="0">
                  <c:v>200</c:v>
                </c:pt>
                <c:pt idx="1">
                  <c:v>240</c:v>
                </c:pt>
                <c:pt idx="2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01-4AD9-A778-6D162B07B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0479808"/>
        <c:axId val="380476208"/>
      </c:lineChart>
      <c:catAx>
        <c:axId val="38047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0476208"/>
        <c:crosses val="autoZero"/>
        <c:auto val="1"/>
        <c:lblAlgn val="ctr"/>
        <c:lblOffset val="100"/>
        <c:noMultiLvlLbl val="0"/>
      </c:catAx>
      <c:valAx>
        <c:axId val="3804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8047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45721</xdr:rowOff>
    </xdr:from>
    <xdr:to>
      <xdr:col>4</xdr:col>
      <xdr:colOff>586740</xdr:colOff>
      <xdr:row>5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Kategoria">
              <a:extLst>
                <a:ext uri="{FF2B5EF4-FFF2-40B4-BE49-F238E27FC236}">
                  <a16:creationId xmlns:a16="http://schemas.microsoft.com/office/drawing/2014/main" id="{D8347F94-E32A-2D50-9A5F-5213E0E0FC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5721"/>
              <a:ext cx="4160520" cy="10058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693420</xdr:colOff>
      <xdr:row>0</xdr:row>
      <xdr:rowOff>53341</xdr:rowOff>
    </xdr:from>
    <xdr:to>
      <xdr:col>8</xdr:col>
      <xdr:colOff>579120</xdr:colOff>
      <xdr:row>5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Miesiące (Data)">
              <a:extLst>
                <a:ext uri="{FF2B5EF4-FFF2-40B4-BE49-F238E27FC236}">
                  <a16:creationId xmlns:a16="http://schemas.microsoft.com/office/drawing/2014/main" id="{CCEA79F3-9E6D-9260-8FDD-EED43BF2B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esiące (Dat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53341"/>
              <a:ext cx="4587240" cy="990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5</xdr:col>
      <xdr:colOff>251460</xdr:colOff>
      <xdr:row>7</xdr:row>
      <xdr:rowOff>148590</xdr:rowOff>
    </xdr:from>
    <xdr:to>
      <xdr:col>10</xdr:col>
      <xdr:colOff>83820</xdr:colOff>
      <xdr:row>21</xdr:row>
      <xdr:rowOff>148590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E624CFEC-9969-59F8-D44E-2B4A1DCED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312.853641319445" createdVersion="8" refreshedVersion="8" minRefreshableVersion="3" recordCount="9" xr:uid="{86CC2688-5D61-49F4-9247-77FE4125DCB1}">
  <cacheSource type="worksheet">
    <worksheetSource name="tb_transakcje"/>
  </cacheSource>
  <cacheFields count="9">
    <cacheField name="Konto" numFmtId="0">
      <sharedItems/>
    </cacheField>
    <cacheField name="Kwota" numFmtId="44">
      <sharedItems containsSemiMixedTypes="0" containsString="0" containsNumber="1" containsInteger="1" minValue="150" maxValue="1600"/>
    </cacheField>
    <cacheField name="Data" numFmtId="14">
      <sharedItems containsSemiMixedTypes="0" containsNonDate="0" containsDate="1" containsString="0" minDate="2026-10-17T00:00:00" maxDate="2026-12-25T00:00:00" count="9">
        <d v="2026-10-17T00:00:00"/>
        <d v="2026-10-23T00:00:00"/>
        <d v="2026-10-29T00:00:00"/>
        <d v="2026-11-04T00:00:00"/>
        <d v="2026-11-10T00:00:00"/>
        <d v="2026-11-16T00:00:00"/>
        <d v="2026-11-22T00:00:00"/>
        <d v="2026-12-23T00:00:00"/>
        <d v="2026-12-24T00:00:00"/>
      </sharedItems>
      <fieldGroup par="8"/>
    </cacheField>
    <cacheField name="Typ" numFmtId="0">
      <sharedItems/>
    </cacheField>
    <cacheField name="Rodzaj" numFmtId="0">
      <sharedItems count="4">
        <s v="Stan początkowy"/>
        <s v="Wydatek"/>
        <s v="Przychód"/>
        <s v="Przelew wewnętrzny"/>
      </sharedItems>
    </cacheField>
    <cacheField name="Kategoria" numFmtId="0">
      <sharedItems count="6">
        <s v="Stan początkowy"/>
        <s v="Paliwo"/>
        <s v="Bonus"/>
        <s v="Pensja"/>
        <s v="Przelew wewnętrzny"/>
        <s v="Jedzenie"/>
      </sharedItems>
    </cacheField>
    <cacheField name="Wartość" numFmtId="0">
      <sharedItems containsSemiMixedTypes="0" containsString="0" containsNumber="1" containsInteger="1" minValue="-242" maxValue="1600"/>
    </cacheField>
    <cacheField name="Dni (Data)" numFmtId="0" databaseField="0">
      <fieldGroup base="2">
        <rangePr groupBy="days" startDate="2026-10-17T00:00:00" endDate="2026-12-25T00:00:00"/>
        <groupItems count="368">
          <s v="&lt;17.10.2026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25.12.2026"/>
        </groupItems>
      </fieldGroup>
    </cacheField>
    <cacheField name="Miesiące (Data)" numFmtId="0" databaseField="0">
      <fieldGroup base="2">
        <rangePr groupBy="months" startDate="2026-10-17T00:00:00" endDate="2026-12-25T00:00:00"/>
        <groupItems count="14">
          <s v="&lt;17.10.2026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5.12.2026"/>
        </groupItems>
      </fieldGroup>
    </cacheField>
  </cacheFields>
  <extLst>
    <ext xmlns:x14="http://schemas.microsoft.com/office/spreadsheetml/2009/9/main" uri="{725AE2AE-9491-48be-B2B4-4EB974FC3084}">
      <x14:pivotCacheDefinition pivotCacheId="20988510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PKO SA"/>
    <n v="1000"/>
    <x v="0"/>
    <s v="Uznanie"/>
    <x v="0"/>
    <x v="0"/>
    <n v="1000"/>
  </r>
  <r>
    <s v="PKO SA"/>
    <n v="200"/>
    <x v="1"/>
    <s v="Obciążenie"/>
    <x v="1"/>
    <x v="1"/>
    <n v="-200"/>
  </r>
  <r>
    <s v="PKO BP"/>
    <n v="400"/>
    <x v="2"/>
    <s v="Uznanie"/>
    <x v="2"/>
    <x v="2"/>
    <n v="400"/>
  </r>
  <r>
    <s v="ING BP"/>
    <n v="1600"/>
    <x v="3"/>
    <s v="Uznanie"/>
    <x v="2"/>
    <x v="3"/>
    <n v="1600"/>
  </r>
  <r>
    <s v="PKO BP"/>
    <n v="350"/>
    <x v="4"/>
    <s v="Uznanie"/>
    <x v="3"/>
    <x v="4"/>
    <n v="350"/>
  </r>
  <r>
    <s v="ING BP"/>
    <n v="150"/>
    <x v="5"/>
    <s v="Obciążenie"/>
    <x v="1"/>
    <x v="5"/>
    <n v="-150"/>
  </r>
  <r>
    <s v="PKO SA"/>
    <n v="240"/>
    <x v="6"/>
    <s v="Obciążenie"/>
    <x v="1"/>
    <x v="1"/>
    <n v="-240"/>
  </r>
  <r>
    <s v="PKO SA"/>
    <n v="241"/>
    <x v="7"/>
    <s v="Obciążenie"/>
    <x v="1"/>
    <x v="1"/>
    <n v="-241"/>
  </r>
  <r>
    <s v="PKO SA"/>
    <n v="242"/>
    <x v="8"/>
    <s v="Obciążenie"/>
    <x v="1"/>
    <x v="5"/>
    <n v="-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2AFBF-1C7D-4003-B8B5-353AFD34F5F6}" name="Tabela przestawna2" cacheId="14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 chartFormat="2">
  <location ref="A10:D14" firstHeaderRow="1" firstDataRow="2" firstDataCol="1" rowPageCount="1" colPageCount="1"/>
  <pivotFields count="9">
    <pivotField showAll="0"/>
    <pivotField dataField="1" numFmtId="44" showAll="0"/>
    <pivotField numFmtId="14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showAll="0">
      <items count="5">
        <item x="3"/>
        <item x="2"/>
        <item x="0"/>
        <item x="1"/>
        <item t="default"/>
      </items>
    </pivotField>
    <pivotField axis="axisCol" showAll="0">
      <items count="7">
        <item x="2"/>
        <item x="5"/>
        <item x="1"/>
        <item x="3"/>
        <item x="4"/>
        <item x="0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8"/>
    <field x="7"/>
  </rowFields>
  <rowItems count="3">
    <i>
      <x v="10"/>
    </i>
    <i>
      <x v="11"/>
    </i>
    <i>
      <x v="12"/>
    </i>
  </rowItems>
  <colFields count="1">
    <field x="5"/>
  </colFields>
  <colItems count="3">
    <i>
      <x v="1"/>
    </i>
    <i>
      <x v="2"/>
    </i>
    <i t="grand">
      <x/>
    </i>
  </colItems>
  <pageFields count="1">
    <pageField fld="4" item="3" hier="-1"/>
  </pageFields>
  <dataFields count="1">
    <dataField name="Suma z Kwota" fld="1" baseField="0" baseItem="0" numFmtId="44"/>
  </dataFields>
  <formats count="11">
    <format dxfId="296">
      <pivotArea type="all" dataOnly="0" outline="0" fieldPosition="0"/>
    </format>
    <format dxfId="294">
      <pivotArea outline="0" collapsedLevelsAreSubtotals="1" fieldPosition="0"/>
    </format>
    <format dxfId="293">
      <pivotArea type="origin" dataOnly="0" labelOnly="1" outline="0" fieldPosition="0"/>
    </format>
    <format dxfId="292">
      <pivotArea field="5" type="button" dataOnly="0" labelOnly="1" outline="0" axis="axisCol" fieldPosition="0"/>
    </format>
    <format dxfId="291">
      <pivotArea type="topRight" dataOnly="0" labelOnly="1" outline="0" fieldPosition="0"/>
    </format>
    <format dxfId="290">
      <pivotArea field="8" type="button" dataOnly="0" labelOnly="1" outline="0" axis="axisRow" fieldPosition="0"/>
    </format>
    <format dxfId="289">
      <pivotArea dataOnly="0" labelOnly="1" fieldPosition="0">
        <references count="1">
          <reference field="8" count="2">
            <x v="10"/>
            <x v="11"/>
          </reference>
        </references>
      </pivotArea>
    </format>
    <format dxfId="288">
      <pivotArea dataOnly="0" labelOnly="1" grandRow="1" outline="0" fieldPosition="0"/>
    </format>
    <format dxfId="287">
      <pivotArea dataOnly="0" labelOnly="1" fieldPosition="0">
        <references count="1">
          <reference field="5" count="0"/>
        </references>
      </pivotArea>
    </format>
    <format dxfId="286">
      <pivotArea dataOnly="0" labelOnly="1" grandCol="1" outline="0" fieldPosition="0"/>
    </format>
    <format dxfId="133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ategoria" xr10:uid="{5651384B-9FBB-4F4B-BA0A-0CDF050857D7}" sourceName="Kategoria">
  <pivotTables>
    <pivotTable tabId="3" name="Tabela przestawna2"/>
  </pivotTables>
  <data>
    <tabular pivotCacheId="2098851050">
      <items count="6">
        <i x="5" s="1"/>
        <i x="1" s="1"/>
        <i x="2" s="1" nd="1"/>
        <i x="3" s="1" nd="1"/>
        <i x="4" s="1" nd="1"/>
        <i x="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iesiące__Data" xr10:uid="{271C4503-81F3-4372-BD45-0271292C2D1A}" sourceName="Miesiące (Data)">
  <pivotTables>
    <pivotTable tabId="3" name="Tabela przestawna2"/>
  </pivotTables>
  <data>
    <tabular pivotCacheId="2098851050">
      <items count="14">
        <i x="10" s="1"/>
        <i x="11" s="1"/>
        <i x="12" s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ategoria" xr10:uid="{0EA79A5C-5272-4114-A8D1-5F93685B7519}" cache="Fragmentator_Kategoria" caption="Kategoria" columnCount="3" rowHeight="234950"/>
  <slicer name="Miesiące (Data)" xr10:uid="{A4BA990C-A18B-47F6-BC79-E9C04C7EEB8B}" cache="Fragmentator_Miesiące__Data" caption="Miesiąc" columnCount="6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1A412E-76B9-49BC-90B9-A02823CAF3F4}" name="tb_transakcje" displayName="tb_transakcje" ref="A7:G16" totalsRowShown="0" dataDxfId="304">
  <autoFilter ref="A7:G16" xr:uid="{F01A412E-76B9-49BC-90B9-A02823CAF3F4}"/>
  <tableColumns count="7">
    <tableColumn id="1" xr3:uid="{A8403A4B-D063-4B43-80A7-6503691C22D1}" name="Konto" dataDxfId="303"/>
    <tableColumn id="2" xr3:uid="{C93F3D17-752E-4B34-9DF1-0480A967B3C8}" name="Kwota" dataDxfId="302" dataCellStyle="Walutowy"/>
    <tableColumn id="3" xr3:uid="{AAE72A4F-F7C2-4371-A93E-8E1203A183FA}" name="Data" dataDxfId="301"/>
    <tableColumn id="4" xr3:uid="{38B10D77-1493-4CE8-B83D-A1145B16468C}" name="Typ" dataDxfId="300"/>
    <tableColumn id="5" xr3:uid="{6EDE1C07-AAFE-4B5C-A1C7-F64959D13BC1}" name="Rodzaj" dataDxfId="299"/>
    <tableColumn id="6" xr3:uid="{1B62E1BA-BBCF-449C-849D-F9B44D6DE8D9}" name="Kategoria" dataDxfId="298"/>
    <tableColumn id="7" xr3:uid="{6E73F1DA-E31D-4CFC-8DA7-0F26CF0813D1}" name="Wartość" dataDxfId="297">
      <calculatedColumnFormula>_xlfn.IFS(tb_transakcje[[#This Row],[Typ]]="Uznanie",tb_transakcje[[#This Row],[Kwota]],tb_transakcje[[#This Row],[Typ]]="Obciążenie",-1*tb_transakcje[[#This Row],[Kwota]])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AC6A24-C1B3-4DE1-8158-0BC01F034153}" name="Tabela12" displayName="Tabela12" ref="A1:B4" totalsRowShown="0">
  <autoFilter ref="A1:B4" xr:uid="{F8AC6A24-C1B3-4DE1-8158-0BC01F034153}"/>
  <tableColumns count="2">
    <tableColumn id="1" xr3:uid="{2C57FF6E-1C84-421B-A6E9-29FD6E229634}" name="Konto"/>
    <tableColumn id="2" xr3:uid="{43002616-745A-4464-8AEB-53B9683B9145}" name="Kwota ">
      <calculatedColumnFormula>SUMIF(tb_transakcje[Konto],A2,tb_transakcje[Wartość])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C2B935-FF4C-4525-A2CF-B4BB142AFB28}" name="tb_k_typ" displayName="tb_k_typ" ref="A1:A3" totalsRowShown="0">
  <autoFilter ref="A1:A3" xr:uid="{70C2B935-FF4C-4525-A2CF-B4BB142AFB28}"/>
  <tableColumns count="1">
    <tableColumn id="1" xr3:uid="{2261F941-D0EE-4D81-B5D0-A06E349F24E7}" name="Ty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E1C84D-2089-46B9-9D3B-903C7A356008}" name="tb_k_uznanie" displayName="tb_k_uznanie" ref="C1:C5" totalsRowShown="0">
  <autoFilter ref="C1:C5" xr:uid="{0EE1C84D-2089-46B9-9D3B-903C7A356008}"/>
  <tableColumns count="1">
    <tableColumn id="1" xr3:uid="{129BC087-7427-474D-BCAE-FDF97379C6CA}" name="Uznani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B10890-3DE0-4851-85BB-9E3DDAF4F42E}" name="tb_k_obciążenie" displayName="tb_k_obciążenie" ref="E1:E3" totalsRowShown="0">
  <autoFilter ref="E1:E3" xr:uid="{1DB10890-3DE0-4851-85BB-9E3DDAF4F42E}"/>
  <tableColumns count="1">
    <tableColumn id="1" xr3:uid="{22E2D709-7B7C-462C-A040-9A2B48BA25B4}" name="Obciążeni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717F01-97B5-4A41-9C75-EDCCE20BD815}" name="tb_k_przychód" displayName="tb_k_przychód" ref="E6:E9" totalsRowShown="0">
  <autoFilter ref="E6:E9" xr:uid="{85717F01-97B5-4A41-9C75-EDCCE20BD815}"/>
  <tableColumns count="1">
    <tableColumn id="1" xr3:uid="{196F4986-840B-4BAE-9806-F1E5A1643B75}" name="Przychó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E35EF0-21BF-48D6-B837-D97238D6727D}" name="tb_k_wydatek" displayName="tb_k_wydatek" ref="G6:G11" totalsRowShown="0">
  <autoFilter ref="G6:G11" xr:uid="{35E35EF0-21BF-48D6-B837-D97238D6727D}"/>
  <tableColumns count="1">
    <tableColumn id="1" xr3:uid="{9322B749-19FF-47B4-B8CC-DBA6316DA9C7}" name="Wydate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32CC89-A839-4741-84E4-B4A0BF7EE3DC}" name="tb_k_początkowy" displayName="tb_k_początkowy" ref="G1:G2" totalsRowShown="0">
  <autoFilter ref="G1:G2" xr:uid="{3D32CC89-A839-4741-84E4-B4A0BF7EE3DC}"/>
  <tableColumns count="1">
    <tableColumn id="1" xr3:uid="{43C02EC2-8207-4D65-B8E2-88586D5BAA15}" name="Stan początkow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D3610D-1B5D-4DE5-9A09-3ACC3C0B94E9}" name="tb_k_wewnętrzny" displayName="tb_k_wewnętrzny" ref="I1:I2" totalsRowShown="0">
  <autoFilter ref="I1:I2" xr:uid="{DCD3610D-1B5D-4DE5-9A09-3ACC3C0B94E9}"/>
  <tableColumns count="1">
    <tableColumn id="1" xr3:uid="{CE7E4EE6-2B4B-42DB-9810-20C8EC6F4B94}" name="Przelew wewnętrzny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F70460-867C-484E-969D-D1B99F6E24C1}" name="tb_k_konta" displayName="tb_k_konta" ref="A8:A11" totalsRowShown="0">
  <autoFilter ref="A8:A11" xr:uid="{5FF70460-867C-484E-969D-D1B99F6E24C1}"/>
  <tableColumns count="1">
    <tableColumn id="1" xr3:uid="{DABEF05C-32D6-4C86-968D-24DB709FDA48}" name="Ko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013D-8E66-4109-A8C2-49788EAF9625}">
  <dimension ref="A8:D14"/>
  <sheetViews>
    <sheetView tabSelected="1" workbookViewId="0">
      <selection activeCell="D11" sqref="D11"/>
    </sheetView>
  </sheetViews>
  <sheetFormatPr defaultRowHeight="14.4" x14ac:dyDescent="0.3"/>
  <cols>
    <col min="1" max="1" width="16.6640625" bestFit="1" customWidth="1"/>
    <col min="2" max="2" width="17" bestFit="1" customWidth="1"/>
    <col min="3" max="4" width="9.21875" bestFit="1" customWidth="1"/>
    <col min="5" max="5" width="17.21875" customWidth="1"/>
    <col min="6" max="6" width="19.5546875" customWidth="1"/>
    <col min="7" max="7" width="17.77734375" customWidth="1"/>
    <col min="8" max="8" width="14" bestFit="1" customWidth="1"/>
  </cols>
  <sheetData>
    <row r="8" spans="1:4" x14ac:dyDescent="0.3">
      <c r="A8" s="7" t="s">
        <v>7</v>
      </c>
      <c r="B8" s="6" t="s">
        <v>9</v>
      </c>
    </row>
    <row r="10" spans="1:4" x14ac:dyDescent="0.3">
      <c r="A10" s="7" t="s">
        <v>26</v>
      </c>
      <c r="B10" s="7" t="s">
        <v>31</v>
      </c>
      <c r="C10" s="6"/>
      <c r="D10" s="6"/>
    </row>
    <row r="11" spans="1:4" ht="28.8" x14ac:dyDescent="0.3">
      <c r="A11" s="7" t="s">
        <v>27</v>
      </c>
      <c r="B11" s="6" t="s">
        <v>16</v>
      </c>
      <c r="C11" s="6" t="s">
        <v>17</v>
      </c>
      <c r="D11" s="6" t="s">
        <v>28</v>
      </c>
    </row>
    <row r="12" spans="1:4" x14ac:dyDescent="0.3">
      <c r="A12" s="8" t="s">
        <v>29</v>
      </c>
      <c r="B12" s="9"/>
      <c r="C12" s="9">
        <v>200</v>
      </c>
      <c r="D12" s="9">
        <v>200</v>
      </c>
    </row>
    <row r="13" spans="1:4" x14ac:dyDescent="0.3">
      <c r="A13" s="8" t="s">
        <v>30</v>
      </c>
      <c r="B13" s="9">
        <v>150</v>
      </c>
      <c r="C13" s="9">
        <v>240</v>
      </c>
      <c r="D13" s="9">
        <v>390</v>
      </c>
    </row>
    <row r="14" spans="1:4" x14ac:dyDescent="0.3">
      <c r="A14" s="8" t="s">
        <v>32</v>
      </c>
      <c r="B14" s="9">
        <v>242</v>
      </c>
      <c r="C14" s="9">
        <v>241</v>
      </c>
      <c r="D14" s="9">
        <v>483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FBBC-7F03-48F4-BB12-8BDEFE912223}">
  <dimension ref="A1:G16"/>
  <sheetViews>
    <sheetView workbookViewId="0">
      <pane ySplit="7" topLeftCell="A8" activePane="bottomLeft" state="frozen"/>
      <selection pane="bottomLeft" activeCell="B20" sqref="B20"/>
    </sheetView>
  </sheetViews>
  <sheetFormatPr defaultRowHeight="14.4" x14ac:dyDescent="0.3"/>
  <cols>
    <col min="2" max="2" width="15.109375" customWidth="1"/>
    <col min="3" max="3" width="10.109375" bestFit="1" customWidth="1"/>
    <col min="4" max="4" width="11" customWidth="1"/>
    <col min="5" max="5" width="19.6640625" customWidth="1"/>
    <col min="6" max="6" width="11.44140625" customWidth="1"/>
    <col min="7" max="7" width="10.44140625" hidden="1" customWidth="1"/>
  </cols>
  <sheetData>
    <row r="1" spans="1:7" x14ac:dyDescent="0.3">
      <c r="A1" t="s">
        <v>0</v>
      </c>
      <c r="B1" t="s">
        <v>24</v>
      </c>
    </row>
    <row r="2" spans="1:7" x14ac:dyDescent="0.3">
      <c r="A2" t="s">
        <v>3</v>
      </c>
      <c r="B2">
        <f>SUMIF(tb_transakcje[Konto],A2,tb_transakcje[Wartość])</f>
        <v>77</v>
      </c>
    </row>
    <row r="3" spans="1:7" x14ac:dyDescent="0.3">
      <c r="A3" t="s">
        <v>21</v>
      </c>
      <c r="B3">
        <f>SUMIF(tb_transakcje[Konto],A3,tb_transakcje[Wartość])</f>
        <v>750</v>
      </c>
      <c r="E3" s="4" t="s">
        <v>25</v>
      </c>
    </row>
    <row r="4" spans="1:7" ht="30" customHeight="1" x14ac:dyDescent="0.3">
      <c r="A4" t="s">
        <v>22</v>
      </c>
      <c r="B4">
        <f>SUMIF(tb_transakcje[Konto],A4,tb_transakcje[Wartość])</f>
        <v>1450</v>
      </c>
      <c r="E4" s="5">
        <f>SUM(Tabela12[[Kwota ]])</f>
        <v>2277</v>
      </c>
    </row>
    <row r="7" spans="1:7" x14ac:dyDescent="0.3">
      <c r="A7" t="s">
        <v>0</v>
      </c>
      <c r="B7" t="s">
        <v>1</v>
      </c>
      <c r="C7" t="s">
        <v>2</v>
      </c>
      <c r="D7" t="s">
        <v>4</v>
      </c>
      <c r="E7" t="s">
        <v>7</v>
      </c>
      <c r="F7" t="s">
        <v>12</v>
      </c>
      <c r="G7" t="s">
        <v>23</v>
      </c>
    </row>
    <row r="8" spans="1:7" ht="28.8" x14ac:dyDescent="0.3">
      <c r="A8" s="1" t="s">
        <v>3</v>
      </c>
      <c r="B8" s="2">
        <v>1000</v>
      </c>
      <c r="C8" s="3">
        <v>46312</v>
      </c>
      <c r="D8" s="1" t="s">
        <v>5</v>
      </c>
      <c r="E8" s="1" t="s">
        <v>8</v>
      </c>
      <c r="F8" s="1" t="s">
        <v>8</v>
      </c>
      <c r="G8" s="1">
        <f>_xlfn.IFS(tb_transakcje[[#This Row],[Typ]]="Uznanie",tb_transakcje[[#This Row],[Kwota]],tb_transakcje[[#This Row],[Typ]]="Obciążenie",-1*tb_transakcje[[#This Row],[Kwota]])</f>
        <v>1000</v>
      </c>
    </row>
    <row r="9" spans="1:7" x14ac:dyDescent="0.3">
      <c r="A9" s="1" t="s">
        <v>3</v>
      </c>
      <c r="B9" s="2">
        <v>200</v>
      </c>
      <c r="C9" s="3">
        <v>46318</v>
      </c>
      <c r="D9" s="1" t="s">
        <v>6</v>
      </c>
      <c r="E9" s="1" t="s">
        <v>9</v>
      </c>
      <c r="F9" s="1" t="s">
        <v>17</v>
      </c>
      <c r="G9" s="1">
        <f>_xlfn.IFS(tb_transakcje[[#This Row],[Typ]]="Uznanie",tb_transakcje[[#This Row],[Kwota]],tb_transakcje[[#This Row],[Typ]]="Obciążenie",-1*tb_transakcje[[#This Row],[Kwota]])</f>
        <v>-200</v>
      </c>
    </row>
    <row r="10" spans="1:7" x14ac:dyDescent="0.3">
      <c r="A10" s="1" t="s">
        <v>21</v>
      </c>
      <c r="B10" s="2">
        <v>400</v>
      </c>
      <c r="C10" s="3">
        <v>46324</v>
      </c>
      <c r="D10" s="1" t="s">
        <v>5</v>
      </c>
      <c r="E10" s="1" t="s">
        <v>10</v>
      </c>
      <c r="F10" s="1" t="s">
        <v>14</v>
      </c>
      <c r="G10" s="1">
        <f>_xlfn.IFS(tb_transakcje[[#This Row],[Typ]]="Uznanie",tb_transakcje[[#This Row],[Kwota]],tb_transakcje[[#This Row],[Typ]]="Obciążenie",-1*tb_transakcje[[#This Row],[Kwota]])</f>
        <v>400</v>
      </c>
    </row>
    <row r="11" spans="1:7" x14ac:dyDescent="0.3">
      <c r="A11" s="1" t="s">
        <v>22</v>
      </c>
      <c r="B11" s="2">
        <v>1600</v>
      </c>
      <c r="C11" s="3">
        <v>46330</v>
      </c>
      <c r="D11" s="1" t="s">
        <v>5</v>
      </c>
      <c r="E11" s="1" t="s">
        <v>10</v>
      </c>
      <c r="F11" s="1" t="s">
        <v>13</v>
      </c>
      <c r="G11" s="1">
        <f>_xlfn.IFS(tb_transakcje[[#This Row],[Typ]]="Uznanie",tb_transakcje[[#This Row],[Kwota]],tb_transakcje[[#This Row],[Typ]]="Obciążenie",-1*tb_transakcje[[#This Row],[Kwota]])</f>
        <v>1600</v>
      </c>
    </row>
    <row r="12" spans="1:7" ht="28.8" x14ac:dyDescent="0.3">
      <c r="A12" s="1" t="s">
        <v>21</v>
      </c>
      <c r="B12" s="2">
        <v>350</v>
      </c>
      <c r="C12" s="3">
        <v>46336</v>
      </c>
      <c r="D12" s="1" t="s">
        <v>5</v>
      </c>
      <c r="E12" s="1" t="s">
        <v>11</v>
      </c>
      <c r="F12" s="1" t="s">
        <v>11</v>
      </c>
      <c r="G12" s="1">
        <f>_xlfn.IFS(tb_transakcje[[#This Row],[Typ]]="Uznanie",tb_transakcje[[#This Row],[Kwota]],tb_transakcje[[#This Row],[Typ]]="Obciążenie",-1*tb_transakcje[[#This Row],[Kwota]])</f>
        <v>350</v>
      </c>
    </row>
    <row r="13" spans="1:7" x14ac:dyDescent="0.3">
      <c r="A13" s="1" t="s">
        <v>22</v>
      </c>
      <c r="B13" s="2">
        <v>150</v>
      </c>
      <c r="C13" s="3">
        <v>46342</v>
      </c>
      <c r="D13" s="1" t="s">
        <v>6</v>
      </c>
      <c r="E13" s="1" t="s">
        <v>9</v>
      </c>
      <c r="F13" s="1" t="s">
        <v>16</v>
      </c>
      <c r="G13" s="1">
        <f>_xlfn.IFS(tb_transakcje[[#This Row],[Typ]]="Uznanie",tb_transakcje[[#This Row],[Kwota]],tb_transakcje[[#This Row],[Typ]]="Obciążenie",-1*tb_transakcje[[#This Row],[Kwota]])</f>
        <v>-150</v>
      </c>
    </row>
    <row r="14" spans="1:7" x14ac:dyDescent="0.3">
      <c r="A14" s="1" t="s">
        <v>3</v>
      </c>
      <c r="B14" s="2">
        <v>240</v>
      </c>
      <c r="C14" s="3">
        <v>46348</v>
      </c>
      <c r="D14" s="1" t="s">
        <v>6</v>
      </c>
      <c r="E14" s="1" t="s">
        <v>9</v>
      </c>
      <c r="F14" s="1" t="s">
        <v>17</v>
      </c>
      <c r="G14" s="1">
        <f>_xlfn.IFS(tb_transakcje[[#This Row],[Typ]]="Uznanie",tb_transakcje[[#This Row],[Kwota]],tb_transakcje[[#This Row],[Typ]]="Obciążenie",-1*tb_transakcje[[#This Row],[Kwota]])</f>
        <v>-240</v>
      </c>
    </row>
    <row r="15" spans="1:7" x14ac:dyDescent="0.3">
      <c r="A15" s="1" t="s">
        <v>3</v>
      </c>
      <c r="B15" s="2">
        <v>241</v>
      </c>
      <c r="C15" s="3">
        <v>46379</v>
      </c>
      <c r="D15" s="1" t="s">
        <v>6</v>
      </c>
      <c r="E15" s="1" t="s">
        <v>9</v>
      </c>
      <c r="F15" s="1" t="s">
        <v>17</v>
      </c>
      <c r="G15" s="1">
        <f>_xlfn.IFS(tb_transakcje[[#This Row],[Typ]]="Uznanie",tb_transakcje[[#This Row],[Kwota]],tb_transakcje[[#This Row],[Typ]]="Obciążenie",-1*tb_transakcje[[#This Row],[Kwota]])</f>
        <v>-241</v>
      </c>
    </row>
    <row r="16" spans="1:7" x14ac:dyDescent="0.3">
      <c r="A16" s="1" t="s">
        <v>3</v>
      </c>
      <c r="B16" s="2">
        <v>242</v>
      </c>
      <c r="C16" s="3">
        <v>46380</v>
      </c>
      <c r="D16" s="1" t="s">
        <v>6</v>
      </c>
      <c r="E16" s="1" t="s">
        <v>9</v>
      </c>
      <c r="F16" s="1" t="s">
        <v>16</v>
      </c>
      <c r="G16" s="1">
        <f>_xlfn.IFS(tb_transakcje[[#This Row],[Typ]]="Uznanie",tb_transakcje[[#This Row],[Kwota]],tb_transakcje[[#This Row],[Typ]]="Obciążenie",-1*tb_transakcje[[#This Row],[Kwota]])</f>
        <v>-242</v>
      </c>
    </row>
  </sheetData>
  <conditionalFormatting sqref="B2:B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{94396176-B673-49FB-9209-70EA3D951CDD}</x14:id>
        </ext>
      </extLst>
    </cfRule>
  </conditionalFormatting>
  <dataValidations count="4">
    <dataValidation type="list" allowBlank="1" showInputMessage="1" showErrorMessage="1" sqref="D8:D16" xr:uid="{CBF7EA9B-7B81-4EFD-AEBC-385ABB402AAC}">
      <formula1>Typ</formula1>
    </dataValidation>
    <dataValidation type="list" allowBlank="1" showInputMessage="1" showErrorMessage="1" sqref="E8:E16" xr:uid="{DE5A5AFA-8BE8-421D-8F94-678360D9F5D6}">
      <formula1>INDIRECT(D8)</formula1>
    </dataValidation>
    <dataValidation type="list" showInputMessage="1" showErrorMessage="1" sqref="F8:F16" xr:uid="{73262206-32E4-4F74-A658-5289F9E7E7B7}">
      <formula1>INDIRECT(SUBSTITUTE(E8," ","_"))</formula1>
    </dataValidation>
    <dataValidation type="list" allowBlank="1" showInputMessage="1" showErrorMessage="1" sqref="A8:A16" xr:uid="{70B1EAA4-5EB0-48E9-982E-7E46762647A3}">
      <formula1>Konto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396176-B673-49FB-9209-70EA3D951C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3ACB-055D-48A3-93D8-C7C97977C710}">
  <dimension ref="A1:I11"/>
  <sheetViews>
    <sheetView workbookViewId="0">
      <selection activeCell="A9" sqref="A9:A11"/>
    </sheetView>
  </sheetViews>
  <sheetFormatPr defaultRowHeight="14.4" x14ac:dyDescent="0.3"/>
  <cols>
    <col min="1" max="1" width="11.77734375" customWidth="1"/>
    <col min="3" max="3" width="18.109375" customWidth="1"/>
    <col min="5" max="5" width="18.44140625" customWidth="1"/>
    <col min="7" max="7" width="17.21875" customWidth="1"/>
    <col min="9" max="9" width="20" customWidth="1"/>
  </cols>
  <sheetData>
    <row r="1" spans="1:9" x14ac:dyDescent="0.3">
      <c r="A1" t="s">
        <v>4</v>
      </c>
      <c r="C1" t="s">
        <v>5</v>
      </c>
      <c r="E1" t="s">
        <v>6</v>
      </c>
      <c r="G1" t="s">
        <v>8</v>
      </c>
      <c r="I1" t="s">
        <v>11</v>
      </c>
    </row>
    <row r="2" spans="1:9" x14ac:dyDescent="0.3">
      <c r="A2" t="s">
        <v>5</v>
      </c>
      <c r="C2" t="s">
        <v>8</v>
      </c>
      <c r="E2" t="s">
        <v>9</v>
      </c>
      <c r="G2" t="s">
        <v>8</v>
      </c>
      <c r="I2" t="s">
        <v>11</v>
      </c>
    </row>
    <row r="3" spans="1:9" x14ac:dyDescent="0.3">
      <c r="A3" t="s">
        <v>6</v>
      </c>
      <c r="C3" t="s">
        <v>10</v>
      </c>
      <c r="E3" t="s">
        <v>11</v>
      </c>
    </row>
    <row r="4" spans="1:9" x14ac:dyDescent="0.3">
      <c r="C4" t="s">
        <v>11</v>
      </c>
    </row>
    <row r="6" spans="1:9" x14ac:dyDescent="0.3">
      <c r="E6" t="s">
        <v>10</v>
      </c>
      <c r="G6" t="s">
        <v>9</v>
      </c>
    </row>
    <row r="7" spans="1:9" x14ac:dyDescent="0.3">
      <c r="E7" t="s">
        <v>13</v>
      </c>
      <c r="G7" t="s">
        <v>16</v>
      </c>
    </row>
    <row r="8" spans="1:9" x14ac:dyDescent="0.3">
      <c r="A8" t="s">
        <v>20</v>
      </c>
      <c r="E8" t="s">
        <v>14</v>
      </c>
      <c r="G8" t="s">
        <v>17</v>
      </c>
    </row>
    <row r="9" spans="1:9" x14ac:dyDescent="0.3">
      <c r="A9" t="s">
        <v>3</v>
      </c>
      <c r="E9" t="s">
        <v>15</v>
      </c>
      <c r="G9" t="s">
        <v>18</v>
      </c>
    </row>
    <row r="10" spans="1:9" x14ac:dyDescent="0.3">
      <c r="A10" t="s">
        <v>21</v>
      </c>
      <c r="G10" t="s">
        <v>19</v>
      </c>
    </row>
    <row r="11" spans="1:9" x14ac:dyDescent="0.3">
      <c r="A11" t="s">
        <v>22</v>
      </c>
      <c r="G11" t="s">
        <v>15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8</vt:i4>
      </vt:variant>
    </vt:vector>
  </HeadingPairs>
  <TitlesOfParts>
    <vt:vector size="11" baseType="lpstr">
      <vt:lpstr>Podsumowanie</vt:lpstr>
      <vt:lpstr>Transakcje</vt:lpstr>
      <vt:lpstr>Kategorie</vt:lpstr>
      <vt:lpstr>Konto</vt:lpstr>
      <vt:lpstr>Obciążenie</vt:lpstr>
      <vt:lpstr>Przelew_wewnętrzny</vt:lpstr>
      <vt:lpstr>Przychód</vt:lpstr>
      <vt:lpstr>Stan_początkowy</vt:lpstr>
      <vt:lpstr>Typ</vt:lpstr>
      <vt:lpstr>Uznanie</vt:lpstr>
      <vt:lpstr>Wydatek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Michalski</dc:creator>
  <cp:lastModifiedBy>Jakub Michalski</cp:lastModifiedBy>
  <dcterms:created xsi:type="dcterms:W3CDTF">2026-10-17T17:16:00Z</dcterms:created>
  <dcterms:modified xsi:type="dcterms:W3CDTF">2026-10-17T18:41:08Z</dcterms:modified>
</cp:coreProperties>
</file>